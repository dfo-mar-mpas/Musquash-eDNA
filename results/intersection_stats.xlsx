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usquash_data\Analysis\results2\"/>
    </mc:Choice>
  </mc:AlternateContent>
  <xr:revisionPtr revIDLastSave="0" documentId="8_{D9E31587-4F15-49AB-98F2-F9D27D79AE8A}" xr6:coauthVersionLast="47" xr6:coauthVersionMax="47" xr10:uidLastSave="{00000000-0000-0000-0000-000000000000}"/>
  <bookViews>
    <workbookView xWindow="-108" yWindow="-108" windowWidth="23256" windowHeight="12456" xr2:uid="{8AC324FD-71E4-4533-94C4-9064984D6EE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G22" i="1"/>
  <c r="G23" i="1"/>
  <c r="G24" i="1"/>
  <c r="G25" i="1"/>
  <c r="G26" i="1"/>
  <c r="G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B31" i="1"/>
  <c r="C31" i="1"/>
  <c r="C33" i="1" s="1"/>
  <c r="D35" i="1" s="1"/>
  <c r="D31" i="1"/>
  <c r="E31" i="1"/>
  <c r="C35" i="1" l="1"/>
  <c r="B33" i="1"/>
  <c r="B34" i="1" s="1"/>
</calcChain>
</file>

<file path=xl/sharedStrings.xml><?xml version="1.0" encoding="utf-8"?>
<sst xmlns="http://schemas.openxmlformats.org/spreadsheetml/2006/main" count="34" uniqueCount="34">
  <si>
    <t>Category</t>
  </si>
  <si>
    <t>eDNA Only</t>
  </si>
  <si>
    <t>Hist Only</t>
  </si>
  <si>
    <t>Shared</t>
  </si>
  <si>
    <t>Total</t>
  </si>
  <si>
    <t>Anthozoa</t>
  </si>
  <si>
    <t>Ascidiacea</t>
  </si>
  <si>
    <t>Asteroidea</t>
  </si>
  <si>
    <t>Bivalvia</t>
  </si>
  <si>
    <t>Branchiopoda</t>
  </si>
  <si>
    <t>Cephalopoda</t>
  </si>
  <si>
    <t>Chromadorea</t>
  </si>
  <si>
    <t>Clitellata</t>
  </si>
  <si>
    <t>Demospongiae</t>
  </si>
  <si>
    <t>Echinoidea</t>
  </si>
  <si>
    <t>Enopla</t>
  </si>
  <si>
    <t>Enteropneusta</t>
  </si>
  <si>
    <t>Gastropoda</t>
  </si>
  <si>
    <t>Gymnolaemata</t>
  </si>
  <si>
    <t>Hexanauplia</t>
  </si>
  <si>
    <t>Holothuroidea</t>
  </si>
  <si>
    <t>Hydrozoa</t>
  </si>
  <si>
    <t>Malacostraca</t>
  </si>
  <si>
    <t>Ophiuroidea</t>
  </si>
  <si>
    <t>Pilidiophora</t>
  </si>
  <si>
    <t>Polychaeta</t>
  </si>
  <si>
    <t>Polyplacophora</t>
  </si>
  <si>
    <t>Priapulimorpha</t>
  </si>
  <si>
    <t>Stenolaemata</t>
  </si>
  <si>
    <t>Tentaculata</t>
  </si>
  <si>
    <t>Thecostraca</t>
  </si>
  <si>
    <t>eDNA total</t>
  </si>
  <si>
    <t>Historical total</t>
  </si>
  <si>
    <t>eDNA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</si>
</sst>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eDNA Only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Anthozoa</c:v>
                </c:pt>
                <c:pt idx="1">
                  <c:v>Ascidiacea</c:v>
                </c:pt>
                <c:pt idx="2">
                  <c:v>Asteroidea</c:v>
                </c:pt>
                <c:pt idx="3">
                  <c:v>Bivalvia</c:v>
                </c:pt>
                <c:pt idx="4">
                  <c:v>Branchiopoda</c:v>
                </c:pt>
                <c:pt idx="5">
                  <c:v>Cephalopoda</c:v>
                </c:pt>
                <c:pt idx="6">
                  <c:v>Chromadorea</c:v>
                </c:pt>
                <c:pt idx="7">
                  <c:v>Clitellata</c:v>
                </c:pt>
                <c:pt idx="8">
                  <c:v>Demospongiae</c:v>
                </c:pt>
                <c:pt idx="9">
                  <c:v>Echinoidea</c:v>
                </c:pt>
                <c:pt idx="10">
                  <c:v>Enopla</c:v>
                </c:pt>
                <c:pt idx="11">
                  <c:v>Enteropneusta</c:v>
                </c:pt>
                <c:pt idx="12">
                  <c:v>Gastropoda</c:v>
                </c:pt>
                <c:pt idx="13">
                  <c:v>Gymnolaemata</c:v>
                </c:pt>
                <c:pt idx="14">
                  <c:v>Hexanauplia</c:v>
                </c:pt>
                <c:pt idx="15">
                  <c:v>Holothuroidea</c:v>
                </c:pt>
                <c:pt idx="16">
                  <c:v>Hydrozoa</c:v>
                </c:pt>
                <c:pt idx="17">
                  <c:v>Malacostraca</c:v>
                </c:pt>
                <c:pt idx="18">
                  <c:v>Ophiuroidea</c:v>
                </c:pt>
                <c:pt idx="19">
                  <c:v>Pilidiophora</c:v>
                </c:pt>
                <c:pt idx="20">
                  <c:v>Polychaeta</c:v>
                </c:pt>
                <c:pt idx="21">
                  <c:v>Polyplacophora</c:v>
                </c:pt>
                <c:pt idx="22">
                  <c:v>Priapulimorpha</c:v>
                </c:pt>
                <c:pt idx="23">
                  <c:v>Stenolaemata</c:v>
                </c:pt>
                <c:pt idx="24">
                  <c:v>Tentaculata</c:v>
                </c:pt>
                <c:pt idx="25">
                  <c:v>Thecostraca</c:v>
                </c:pt>
              </c:strCache>
            </c:str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5</c:v>
                </c:pt>
                <c:pt idx="14">
                  <c:v>6</c:v>
                </c:pt>
                <c:pt idx="15">
                  <c:v>0</c:v>
                </c:pt>
                <c:pt idx="16">
                  <c:v>12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A-4962-8348-B8B92BD90C5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Hist Only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Anthozoa</c:v>
                </c:pt>
                <c:pt idx="1">
                  <c:v>Ascidiacea</c:v>
                </c:pt>
                <c:pt idx="2">
                  <c:v>Asteroidea</c:v>
                </c:pt>
                <c:pt idx="3">
                  <c:v>Bivalvia</c:v>
                </c:pt>
                <c:pt idx="4">
                  <c:v>Branchiopoda</c:v>
                </c:pt>
                <c:pt idx="5">
                  <c:v>Cephalopoda</c:v>
                </c:pt>
                <c:pt idx="6">
                  <c:v>Chromadorea</c:v>
                </c:pt>
                <c:pt idx="7">
                  <c:v>Clitellata</c:v>
                </c:pt>
                <c:pt idx="8">
                  <c:v>Demospongiae</c:v>
                </c:pt>
                <c:pt idx="9">
                  <c:v>Echinoidea</c:v>
                </c:pt>
                <c:pt idx="10">
                  <c:v>Enopla</c:v>
                </c:pt>
                <c:pt idx="11">
                  <c:v>Enteropneusta</c:v>
                </c:pt>
                <c:pt idx="12">
                  <c:v>Gastropoda</c:v>
                </c:pt>
                <c:pt idx="13">
                  <c:v>Gymnolaemata</c:v>
                </c:pt>
                <c:pt idx="14">
                  <c:v>Hexanauplia</c:v>
                </c:pt>
                <c:pt idx="15">
                  <c:v>Holothuroidea</c:v>
                </c:pt>
                <c:pt idx="16">
                  <c:v>Hydrozoa</c:v>
                </c:pt>
                <c:pt idx="17">
                  <c:v>Malacostraca</c:v>
                </c:pt>
                <c:pt idx="18">
                  <c:v>Ophiuroidea</c:v>
                </c:pt>
                <c:pt idx="19">
                  <c:v>Pilidiophora</c:v>
                </c:pt>
                <c:pt idx="20">
                  <c:v>Polychaeta</c:v>
                </c:pt>
                <c:pt idx="21">
                  <c:v>Polyplacophora</c:v>
                </c:pt>
                <c:pt idx="22">
                  <c:v>Priapulimorpha</c:v>
                </c:pt>
                <c:pt idx="23">
                  <c:v>Stenolaemata</c:v>
                </c:pt>
                <c:pt idx="24">
                  <c:v>Tentaculata</c:v>
                </c:pt>
                <c:pt idx="25">
                  <c:v>Thecostraca</c:v>
                </c:pt>
              </c:strCache>
            </c:str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17</c:v>
                </c:pt>
                <c:pt idx="13">
                  <c:v>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41</c:v>
                </c:pt>
                <c:pt idx="18">
                  <c:v>1</c:v>
                </c:pt>
                <c:pt idx="19">
                  <c:v>2</c:v>
                </c:pt>
                <c:pt idx="20">
                  <c:v>63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7A-4962-8348-B8B92BD90C5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Shared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Anthozoa</c:v>
                </c:pt>
                <c:pt idx="1">
                  <c:v>Ascidiacea</c:v>
                </c:pt>
                <c:pt idx="2">
                  <c:v>Asteroidea</c:v>
                </c:pt>
                <c:pt idx="3">
                  <c:v>Bivalvia</c:v>
                </c:pt>
                <c:pt idx="4">
                  <c:v>Branchiopoda</c:v>
                </c:pt>
                <c:pt idx="5">
                  <c:v>Cephalopoda</c:v>
                </c:pt>
                <c:pt idx="6">
                  <c:v>Chromadorea</c:v>
                </c:pt>
                <c:pt idx="7">
                  <c:v>Clitellata</c:v>
                </c:pt>
                <c:pt idx="8">
                  <c:v>Demospongiae</c:v>
                </c:pt>
                <c:pt idx="9">
                  <c:v>Echinoidea</c:v>
                </c:pt>
                <c:pt idx="10">
                  <c:v>Enopla</c:v>
                </c:pt>
                <c:pt idx="11">
                  <c:v>Enteropneusta</c:v>
                </c:pt>
                <c:pt idx="12">
                  <c:v>Gastropoda</c:v>
                </c:pt>
                <c:pt idx="13">
                  <c:v>Gymnolaemata</c:v>
                </c:pt>
                <c:pt idx="14">
                  <c:v>Hexanauplia</c:v>
                </c:pt>
                <c:pt idx="15">
                  <c:v>Holothuroidea</c:v>
                </c:pt>
                <c:pt idx="16">
                  <c:v>Hydrozoa</c:v>
                </c:pt>
                <c:pt idx="17">
                  <c:v>Malacostraca</c:v>
                </c:pt>
                <c:pt idx="18">
                  <c:v>Ophiuroidea</c:v>
                </c:pt>
                <c:pt idx="19">
                  <c:v>Pilidiophora</c:v>
                </c:pt>
                <c:pt idx="20">
                  <c:v>Polychaeta</c:v>
                </c:pt>
                <c:pt idx="21">
                  <c:v>Polyplacophora</c:v>
                </c:pt>
                <c:pt idx="22">
                  <c:v>Priapulimorpha</c:v>
                </c:pt>
                <c:pt idx="23">
                  <c:v>Stenolaemata</c:v>
                </c:pt>
                <c:pt idx="24">
                  <c:v>Tentaculata</c:v>
                </c:pt>
                <c:pt idx="25">
                  <c:v>Thecostraca</c:v>
                </c:pt>
              </c:strCache>
            </c:str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3</c:v>
                </c:pt>
                <c:pt idx="17">
                  <c:v>5</c:v>
                </c:pt>
                <c:pt idx="18">
                  <c:v>0</c:v>
                </c:pt>
                <c:pt idx="19">
                  <c:v>2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7A-4962-8348-B8B92BD9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34472735"/>
        <c:axId val="69806255"/>
      </c:barChart>
      <c:catAx>
        <c:axId val="3344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6255"/>
        <c:crosses val="autoZero"/>
        <c:auto val="1"/>
        <c:lblAlgn val="ctr"/>
        <c:lblOffset val="100"/>
        <c:noMultiLvlLbl val="0"/>
      </c:catAx>
      <c:valAx>
        <c:axId val="69806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5</xdr:row>
      <xdr:rowOff>95250</xdr:rowOff>
    </xdr:from>
    <xdr:to>
      <xdr:col>19</xdr:col>
      <xdr:colOff>449580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72296-B847-F4BA-1E96-1020E26C3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FA39-FE80-499C-8BF8-71C95C55131B}">
  <dimension ref="A1:H35"/>
  <sheetViews>
    <sheetView tabSelected="1" workbookViewId="0">
      <selection activeCell="K3" sqref="K3"/>
    </sheetView>
  </sheetViews>
  <sheetFormatPr defaultRowHeight="14.4" x14ac:dyDescent="0.3"/>
  <cols>
    <col min="1" max="1" width="14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</row>
    <row r="2" spans="1:8" x14ac:dyDescent="0.3">
      <c r="A2" t="s">
        <v>5</v>
      </c>
      <c r="B2">
        <v>0</v>
      </c>
      <c r="C2">
        <v>4</v>
      </c>
      <c r="D2">
        <v>0</v>
      </c>
      <c r="E2">
        <v>4</v>
      </c>
      <c r="F2">
        <f>B2+D2</f>
        <v>0</v>
      </c>
      <c r="G2">
        <f>C2+D2</f>
        <v>4</v>
      </c>
      <c r="H2" s="1">
        <f>D2/G2</f>
        <v>0</v>
      </c>
    </row>
    <row r="3" spans="1:8" x14ac:dyDescent="0.3">
      <c r="A3" t="s">
        <v>6</v>
      </c>
      <c r="B3">
        <v>0</v>
      </c>
      <c r="C3">
        <v>2</v>
      </c>
      <c r="D3">
        <v>0</v>
      </c>
      <c r="E3">
        <v>2</v>
      </c>
      <c r="F3">
        <f t="shared" ref="F3:F27" si="0">B3+D3</f>
        <v>0</v>
      </c>
      <c r="G3">
        <f t="shared" ref="G3:G27" si="1">C3+D3</f>
        <v>2</v>
      </c>
      <c r="H3" s="1">
        <f t="shared" ref="H3:H27" si="2">D3/G3</f>
        <v>0</v>
      </c>
    </row>
    <row r="4" spans="1:8" x14ac:dyDescent="0.3">
      <c r="A4" t="s">
        <v>7</v>
      </c>
      <c r="B4">
        <v>1</v>
      </c>
      <c r="C4">
        <v>2</v>
      </c>
      <c r="D4">
        <v>1</v>
      </c>
      <c r="E4">
        <v>4</v>
      </c>
      <c r="F4">
        <f t="shared" si="0"/>
        <v>2</v>
      </c>
      <c r="G4">
        <f t="shared" si="1"/>
        <v>3</v>
      </c>
      <c r="H4" s="1">
        <f t="shared" si="2"/>
        <v>0.33333333333333331</v>
      </c>
    </row>
    <row r="5" spans="1:8" x14ac:dyDescent="0.3">
      <c r="A5" t="s">
        <v>8</v>
      </c>
      <c r="B5">
        <v>1</v>
      </c>
      <c r="C5">
        <v>15</v>
      </c>
      <c r="D5">
        <v>9</v>
      </c>
      <c r="E5">
        <v>25</v>
      </c>
      <c r="F5">
        <f t="shared" si="0"/>
        <v>10</v>
      </c>
      <c r="G5">
        <f t="shared" si="1"/>
        <v>24</v>
      </c>
      <c r="H5" s="1">
        <f t="shared" si="2"/>
        <v>0.375</v>
      </c>
    </row>
    <row r="6" spans="1:8" x14ac:dyDescent="0.3">
      <c r="A6" t="s">
        <v>9</v>
      </c>
      <c r="B6">
        <v>1</v>
      </c>
      <c r="C6">
        <v>0</v>
      </c>
      <c r="D6">
        <v>0</v>
      </c>
      <c r="E6">
        <v>1</v>
      </c>
      <c r="F6">
        <f t="shared" si="0"/>
        <v>1</v>
      </c>
      <c r="G6">
        <f t="shared" si="1"/>
        <v>0</v>
      </c>
      <c r="H6" s="1" t="e">
        <f t="shared" si="2"/>
        <v>#DIV/0!</v>
      </c>
    </row>
    <row r="7" spans="1:8" x14ac:dyDescent="0.3">
      <c r="A7" t="s">
        <v>10</v>
      </c>
      <c r="B7">
        <v>1</v>
      </c>
      <c r="C7">
        <v>0</v>
      </c>
      <c r="D7">
        <v>0</v>
      </c>
      <c r="E7">
        <v>1</v>
      </c>
      <c r="F7">
        <f t="shared" si="0"/>
        <v>1</v>
      </c>
      <c r="G7">
        <f t="shared" si="1"/>
        <v>0</v>
      </c>
      <c r="H7" s="1" t="e">
        <f t="shared" si="2"/>
        <v>#DIV/0!</v>
      </c>
    </row>
    <row r="8" spans="1:8" x14ac:dyDescent="0.3">
      <c r="A8" t="s">
        <v>11</v>
      </c>
      <c r="B8">
        <v>1</v>
      </c>
      <c r="C8">
        <v>0</v>
      </c>
      <c r="D8">
        <v>0</v>
      </c>
      <c r="E8">
        <v>1</v>
      </c>
      <c r="F8">
        <f t="shared" si="0"/>
        <v>1</v>
      </c>
      <c r="G8">
        <f t="shared" si="1"/>
        <v>0</v>
      </c>
      <c r="H8" s="1" t="e">
        <f t="shared" si="2"/>
        <v>#DIV/0!</v>
      </c>
    </row>
    <row r="9" spans="1:8" x14ac:dyDescent="0.3">
      <c r="A9" t="s">
        <v>12</v>
      </c>
      <c r="B9">
        <v>0</v>
      </c>
      <c r="C9">
        <v>3</v>
      </c>
      <c r="D9">
        <v>1</v>
      </c>
      <c r="E9">
        <v>4</v>
      </c>
      <c r="F9">
        <f t="shared" si="0"/>
        <v>1</v>
      </c>
      <c r="G9">
        <f t="shared" si="1"/>
        <v>4</v>
      </c>
      <c r="H9" s="1">
        <f t="shared" si="2"/>
        <v>0.25</v>
      </c>
    </row>
    <row r="10" spans="1:8" x14ac:dyDescent="0.3">
      <c r="A10" t="s">
        <v>13</v>
      </c>
      <c r="B10">
        <v>0</v>
      </c>
      <c r="C10">
        <v>3</v>
      </c>
      <c r="D10">
        <v>1</v>
      </c>
      <c r="E10">
        <v>4</v>
      </c>
      <c r="F10">
        <f t="shared" si="0"/>
        <v>1</v>
      </c>
      <c r="G10">
        <f t="shared" si="1"/>
        <v>4</v>
      </c>
      <c r="H10" s="1">
        <f t="shared" si="2"/>
        <v>0.25</v>
      </c>
    </row>
    <row r="11" spans="1:8" x14ac:dyDescent="0.3">
      <c r="A11" t="s">
        <v>14</v>
      </c>
      <c r="B11">
        <v>1</v>
      </c>
      <c r="C11">
        <v>0</v>
      </c>
      <c r="D11">
        <v>1</v>
      </c>
      <c r="E11">
        <v>2</v>
      </c>
      <c r="F11">
        <f t="shared" si="0"/>
        <v>2</v>
      </c>
      <c r="G11">
        <f t="shared" si="1"/>
        <v>1</v>
      </c>
      <c r="H11" s="1">
        <f t="shared" si="2"/>
        <v>1</v>
      </c>
    </row>
    <row r="12" spans="1:8" x14ac:dyDescent="0.3">
      <c r="A12" t="s">
        <v>15</v>
      </c>
      <c r="B12">
        <v>0</v>
      </c>
      <c r="C12">
        <v>1</v>
      </c>
      <c r="D12">
        <v>0</v>
      </c>
      <c r="E12">
        <v>1</v>
      </c>
      <c r="F12">
        <f t="shared" si="0"/>
        <v>0</v>
      </c>
      <c r="G12">
        <f t="shared" si="1"/>
        <v>1</v>
      </c>
      <c r="H12" s="1">
        <f t="shared" si="2"/>
        <v>0</v>
      </c>
    </row>
    <row r="13" spans="1:8" x14ac:dyDescent="0.3">
      <c r="A13" t="s">
        <v>16</v>
      </c>
      <c r="B13">
        <v>0</v>
      </c>
      <c r="C13">
        <v>1</v>
      </c>
      <c r="D13">
        <v>1</v>
      </c>
      <c r="E13">
        <v>2</v>
      </c>
      <c r="F13">
        <f t="shared" si="0"/>
        <v>1</v>
      </c>
      <c r="G13">
        <f t="shared" si="1"/>
        <v>2</v>
      </c>
      <c r="H13" s="1">
        <f t="shared" si="2"/>
        <v>0.5</v>
      </c>
    </row>
    <row r="14" spans="1:8" x14ac:dyDescent="0.3">
      <c r="A14" t="s">
        <v>17</v>
      </c>
      <c r="B14">
        <v>3</v>
      </c>
      <c r="C14">
        <v>17</v>
      </c>
      <c r="D14">
        <v>4</v>
      </c>
      <c r="E14">
        <v>24</v>
      </c>
      <c r="F14">
        <f t="shared" si="0"/>
        <v>7</v>
      </c>
      <c r="G14">
        <f t="shared" si="1"/>
        <v>21</v>
      </c>
      <c r="H14" s="1">
        <f t="shared" si="2"/>
        <v>0.19047619047619047</v>
      </c>
    </row>
    <row r="15" spans="1:8" x14ac:dyDescent="0.3">
      <c r="A15" t="s">
        <v>18</v>
      </c>
      <c r="B15">
        <v>5</v>
      </c>
      <c r="C15">
        <v>8</v>
      </c>
      <c r="D15">
        <v>3</v>
      </c>
      <c r="E15">
        <v>16</v>
      </c>
      <c r="F15">
        <f t="shared" si="0"/>
        <v>8</v>
      </c>
      <c r="G15">
        <f t="shared" si="1"/>
        <v>11</v>
      </c>
      <c r="H15" s="1">
        <f t="shared" si="2"/>
        <v>0.27272727272727271</v>
      </c>
    </row>
    <row r="16" spans="1:8" x14ac:dyDescent="0.3">
      <c r="A16" t="s">
        <v>19</v>
      </c>
      <c r="B16">
        <v>6</v>
      </c>
      <c r="C16">
        <v>2</v>
      </c>
      <c r="D16">
        <v>4</v>
      </c>
      <c r="E16">
        <v>12</v>
      </c>
      <c r="F16">
        <f t="shared" si="0"/>
        <v>10</v>
      </c>
      <c r="G16">
        <f t="shared" si="1"/>
        <v>6</v>
      </c>
      <c r="H16" s="1">
        <f t="shared" si="2"/>
        <v>0.66666666666666663</v>
      </c>
    </row>
    <row r="17" spans="1:8" x14ac:dyDescent="0.3">
      <c r="A17" t="s">
        <v>20</v>
      </c>
      <c r="B17">
        <v>0</v>
      </c>
      <c r="C17">
        <v>2</v>
      </c>
      <c r="D17">
        <v>0</v>
      </c>
      <c r="E17">
        <v>2</v>
      </c>
      <c r="F17">
        <f t="shared" si="0"/>
        <v>0</v>
      </c>
      <c r="G17">
        <f t="shared" si="1"/>
        <v>2</v>
      </c>
      <c r="H17" s="1">
        <f t="shared" si="2"/>
        <v>0</v>
      </c>
    </row>
    <row r="18" spans="1:8" x14ac:dyDescent="0.3">
      <c r="A18" t="s">
        <v>21</v>
      </c>
      <c r="B18">
        <v>12</v>
      </c>
      <c r="C18">
        <v>2</v>
      </c>
      <c r="D18">
        <v>3</v>
      </c>
      <c r="E18">
        <v>17</v>
      </c>
      <c r="F18">
        <f t="shared" si="0"/>
        <v>15</v>
      </c>
      <c r="G18">
        <f t="shared" si="1"/>
        <v>5</v>
      </c>
      <c r="H18" s="1">
        <f t="shared" si="2"/>
        <v>0.6</v>
      </c>
    </row>
    <row r="19" spans="1:8" x14ac:dyDescent="0.3">
      <c r="A19" t="s">
        <v>22</v>
      </c>
      <c r="B19">
        <v>2</v>
      </c>
      <c r="C19">
        <v>41</v>
      </c>
      <c r="D19">
        <v>5</v>
      </c>
      <c r="E19">
        <v>48</v>
      </c>
      <c r="F19">
        <f t="shared" si="0"/>
        <v>7</v>
      </c>
      <c r="G19">
        <f t="shared" si="1"/>
        <v>46</v>
      </c>
      <c r="H19" s="1">
        <f t="shared" si="2"/>
        <v>0.10869565217391304</v>
      </c>
    </row>
    <row r="20" spans="1:8" x14ac:dyDescent="0.3">
      <c r="A20" t="s">
        <v>23</v>
      </c>
      <c r="B20">
        <v>0</v>
      </c>
      <c r="C20">
        <v>1</v>
      </c>
      <c r="D20">
        <v>0</v>
      </c>
      <c r="E20">
        <v>1</v>
      </c>
      <c r="F20">
        <f t="shared" si="0"/>
        <v>0</v>
      </c>
      <c r="G20">
        <f t="shared" si="1"/>
        <v>1</v>
      </c>
      <c r="H20" s="1">
        <f t="shared" si="2"/>
        <v>0</v>
      </c>
    </row>
    <row r="21" spans="1:8" x14ac:dyDescent="0.3">
      <c r="A21" t="s">
        <v>24</v>
      </c>
      <c r="B21">
        <v>0</v>
      </c>
      <c r="C21">
        <v>2</v>
      </c>
      <c r="D21">
        <v>2</v>
      </c>
      <c r="E21">
        <v>4</v>
      </c>
      <c r="F21">
        <f t="shared" si="0"/>
        <v>2</v>
      </c>
      <c r="G21">
        <f t="shared" si="1"/>
        <v>4</v>
      </c>
      <c r="H21" s="1">
        <f t="shared" si="2"/>
        <v>0.5</v>
      </c>
    </row>
    <row r="22" spans="1:8" x14ac:dyDescent="0.3">
      <c r="A22" t="s">
        <v>25</v>
      </c>
      <c r="B22">
        <v>5</v>
      </c>
      <c r="C22">
        <v>63</v>
      </c>
      <c r="D22">
        <v>13</v>
      </c>
      <c r="E22">
        <v>81</v>
      </c>
      <c r="F22">
        <f t="shared" si="0"/>
        <v>18</v>
      </c>
      <c r="G22">
        <f>C22+D22</f>
        <v>76</v>
      </c>
      <c r="H22" s="1">
        <f t="shared" si="2"/>
        <v>0.17105263157894737</v>
      </c>
    </row>
    <row r="23" spans="1:8" x14ac:dyDescent="0.3">
      <c r="A23" t="s">
        <v>26</v>
      </c>
      <c r="B23">
        <v>0</v>
      </c>
      <c r="C23">
        <v>2</v>
      </c>
      <c r="D23">
        <v>0</v>
      </c>
      <c r="E23">
        <v>2</v>
      </c>
      <c r="F23">
        <f t="shared" si="0"/>
        <v>0</v>
      </c>
      <c r="G23">
        <f t="shared" si="1"/>
        <v>2</v>
      </c>
      <c r="H23" s="1">
        <f t="shared" si="2"/>
        <v>0</v>
      </c>
    </row>
    <row r="24" spans="1:8" x14ac:dyDescent="0.3">
      <c r="A24" t="s">
        <v>27</v>
      </c>
      <c r="B24">
        <v>0</v>
      </c>
      <c r="C24">
        <v>1</v>
      </c>
      <c r="D24">
        <v>0</v>
      </c>
      <c r="E24">
        <v>1</v>
      </c>
      <c r="F24">
        <f t="shared" si="0"/>
        <v>0</v>
      </c>
      <c r="G24">
        <f t="shared" si="1"/>
        <v>1</v>
      </c>
      <c r="H24" s="1">
        <f t="shared" si="2"/>
        <v>0</v>
      </c>
    </row>
    <row r="25" spans="1:8" x14ac:dyDescent="0.3">
      <c r="A25" t="s">
        <v>28</v>
      </c>
      <c r="B25">
        <v>0</v>
      </c>
      <c r="C25">
        <v>1</v>
      </c>
      <c r="D25">
        <v>0</v>
      </c>
      <c r="E25">
        <v>1</v>
      </c>
      <c r="F25">
        <f t="shared" si="0"/>
        <v>0</v>
      </c>
      <c r="G25">
        <f t="shared" si="1"/>
        <v>1</v>
      </c>
      <c r="H25" s="1">
        <f t="shared" si="2"/>
        <v>0</v>
      </c>
    </row>
    <row r="26" spans="1:8" x14ac:dyDescent="0.3">
      <c r="A26" t="s">
        <v>29</v>
      </c>
      <c r="B26">
        <v>1</v>
      </c>
      <c r="C26">
        <v>0</v>
      </c>
      <c r="D26">
        <v>0</v>
      </c>
      <c r="E26">
        <v>1</v>
      </c>
      <c r="F26">
        <f t="shared" si="0"/>
        <v>1</v>
      </c>
      <c r="G26">
        <f t="shared" si="1"/>
        <v>0</v>
      </c>
      <c r="H26" s="1" t="e">
        <f t="shared" si="2"/>
        <v>#DIV/0!</v>
      </c>
    </row>
    <row r="27" spans="1:8" x14ac:dyDescent="0.3">
      <c r="A27" t="s">
        <v>30</v>
      </c>
      <c r="B27">
        <v>0</v>
      </c>
      <c r="C27">
        <v>0</v>
      </c>
      <c r="D27">
        <v>4</v>
      </c>
      <c r="E27">
        <v>4</v>
      </c>
      <c r="F27">
        <f t="shared" si="0"/>
        <v>4</v>
      </c>
      <c r="G27">
        <f t="shared" si="1"/>
        <v>4</v>
      </c>
      <c r="H27" s="1">
        <f t="shared" si="2"/>
        <v>1</v>
      </c>
    </row>
    <row r="31" spans="1:8" x14ac:dyDescent="0.3">
      <c r="B31">
        <f>SUM(B2:B27)</f>
        <v>40</v>
      </c>
      <c r="C31">
        <f>SUM(C2:C27)</f>
        <v>173</v>
      </c>
      <c r="D31">
        <f>SUM(D2:D27)</f>
        <v>52</v>
      </c>
      <c r="E31">
        <f>SUM(E2:E27)</f>
        <v>265</v>
      </c>
    </row>
    <row r="33" spans="2:4" x14ac:dyDescent="0.3">
      <c r="B33">
        <f>B31+D31</f>
        <v>92</v>
      </c>
      <c r="C33">
        <f>C31+D31</f>
        <v>225</v>
      </c>
    </row>
    <row r="34" spans="2:4" x14ac:dyDescent="0.3">
      <c r="B34">
        <f>B33/C33</f>
        <v>0.40888888888888891</v>
      </c>
    </row>
    <row r="35" spans="2:4" x14ac:dyDescent="0.3">
      <c r="C35">
        <f>B31/C33</f>
        <v>0.17777777777777778</v>
      </c>
      <c r="D35">
        <f>D31/C33</f>
        <v>0.2311111111111111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Fares</dc:creator>
  <cp:lastModifiedBy>Mohamed Fares</cp:lastModifiedBy>
  <dcterms:created xsi:type="dcterms:W3CDTF">2026-08-27T15:41:10Z</dcterms:created>
  <dcterms:modified xsi:type="dcterms:W3CDTF">2026-09-01T15:48:56Z</dcterms:modified>
</cp:coreProperties>
</file>